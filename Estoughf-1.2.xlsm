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L:\Documents\Syrinx Software GmbH\Projects\2022\Charlotte - Order Management\"/>
    </mc:Choice>
  </mc:AlternateContent>
  <bookViews>
    <workbookView xWindow="0" yWindow="0" windowWidth="28770" windowHeight="11895" activeTab="1"/>
  </bookViews>
  <sheets>
    <sheet name="Spec." sheetId="1" r:id="rId1"/>
    <sheet name="EstimateForm" sheetId="3" r:id="rId2"/>
    <sheet name="LookupDB" sheetId="6" r:id="rId3"/>
    <sheet name="InventoryDB" sheetId="2" r:id="rId4"/>
    <sheet name="EstimateDB" sheetId="4" r:id="rId5"/>
    <sheet name="EstimateItemDB" sheetId="5" r:id="rId6"/>
  </sheets>
  <functionGroups builtInGroupCount="18"/>
  <definedNames>
    <definedName name="CurEstNo">EstimateForm!$D$2</definedName>
    <definedName name="EstNoList">DB_ESTIMATE[EST_NO]</definedName>
    <definedName name="Packaging">LOV_PACKAGE_DISCOUNT[QUANTITY]</definedName>
    <definedName name="_xlnm.Print_Area" localSheetId="1">EstimateForm!$C$1:$K$25</definedName>
    <definedName name="RefList">DB_INV[REF]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3" l="1"/>
  <c r="G8" i="3"/>
  <c r="H8" i="3" s="1"/>
  <c r="I8" i="3"/>
  <c r="G7" i="3"/>
  <c r="H7" i="3" s="1"/>
  <c r="I7" i="3"/>
  <c r="G6" i="3"/>
  <c r="H6" i="3" s="1"/>
  <c r="I6" i="3"/>
  <c r="J8" i="3" l="1"/>
  <c r="J7" i="3"/>
  <c r="J6" i="3"/>
  <c r="J12" i="3"/>
  <c r="J9" i="3" l="1"/>
  <c r="A24" i="2"/>
  <c r="A25" i="2"/>
  <c r="A26" i="2"/>
  <c r="A27" i="2"/>
  <c r="A28" i="2"/>
  <c r="A29" i="2"/>
  <c r="A30" i="2"/>
  <c r="A31" i="2"/>
  <c r="A32" i="2"/>
  <c r="J10" i="3" l="1"/>
  <c r="J11" i="3" s="1"/>
  <c r="A33" i="2"/>
  <c r="A21" i="2"/>
  <c r="A11" i="2"/>
  <c r="A23" i="2"/>
  <c r="A22" i="2"/>
  <c r="A20" i="2"/>
  <c r="A10" i="2"/>
  <c r="A19" i="2"/>
  <c r="A9" i="2"/>
  <c r="A18" i="2"/>
  <c r="A8" i="2"/>
  <c r="A17" i="2"/>
  <c r="A7" i="2"/>
  <c r="A16" i="2"/>
  <c r="A6" i="2"/>
  <c r="A15" i="2"/>
  <c r="A5" i="2"/>
  <c r="A14" i="2"/>
  <c r="A4" i="2"/>
  <c r="A13" i="2"/>
  <c r="A3" i="2"/>
  <c r="A12" i="2"/>
  <c r="A2" i="2"/>
</calcChain>
</file>

<file path=xl/sharedStrings.xml><?xml version="1.0" encoding="utf-8"?>
<sst xmlns="http://schemas.openxmlformats.org/spreadsheetml/2006/main" count="213" uniqueCount="100">
  <si>
    <t>Create database(sepearet sheetss)  for Inventory, Estimations + Orders</t>
  </si>
  <si>
    <t>Inventory(Ref, Domain DomainKey, Type, Year, Stock, Price</t>
  </si>
  <si>
    <t>OderItems(Ref, Packacking (1,6 or 12), Quantity)</t>
  </si>
  <si>
    <t>EstimationItems(Orders(Ref, Packacking (1,6 or 12), Quantity))</t>
  </si>
  <si>
    <t>Orders(OrderNr)</t>
  </si>
  <si>
    <t>Estimation (EstimationNr)</t>
  </si>
  <si>
    <t>Constants</t>
  </si>
  <si>
    <t>Form to load/edit/create/print an order</t>
  </si>
  <si>
    <t>Form to load/edit/create/print an estimation</t>
  </si>
  <si>
    <t>Button to create Order from Estimation</t>
  </si>
  <si>
    <t>Price Calculation</t>
  </si>
  <si>
    <t>There is a discount for ordering 6 or 12 bottle packaging</t>
  </si>
  <si>
    <t>(see "Packaging" Lookup Table  6 bottle packaging = reduction of 5% on bottle price)</t>
  </si>
  <si>
    <t>There is a dicount on quantity ( for example between 100 and 300 bottles, discount of 2,5% on total price)</t>
  </si>
  <si>
    <t>see "Discount L" lookup</t>
  </si>
  <si>
    <t>VLOOKUP seems to offer some cool functions</t>
  </si>
  <si>
    <t>Immplementation Notes</t>
  </si>
  <si>
    <t>Project Plan</t>
  </si>
  <si>
    <t>Databases to create:</t>
  </si>
  <si>
    <t>Lookups to create:</t>
  </si>
  <si>
    <t>VAT (single field)</t>
  </si>
  <si>
    <t xml:space="preserve"> Packaging  Reduction</t>
  </si>
  <si>
    <t>Order Price Reduction</t>
  </si>
  <si>
    <t>BR</t>
  </si>
  <si>
    <t>Brouilly</t>
  </si>
  <si>
    <t>1er cru</t>
  </si>
  <si>
    <t>CB</t>
  </si>
  <si>
    <t>Côte de Brouilly</t>
  </si>
  <si>
    <t>CH</t>
  </si>
  <si>
    <t>Chenas</t>
  </si>
  <si>
    <t>F</t>
  </si>
  <si>
    <t>Fleurie</t>
  </si>
  <si>
    <t>J</t>
  </si>
  <si>
    <t>Juliénas</t>
  </si>
  <si>
    <t>MO</t>
  </si>
  <si>
    <t>Morgon</t>
  </si>
  <si>
    <t>MV</t>
  </si>
  <si>
    <t>Moulin-à-vent</t>
  </si>
  <si>
    <t>R</t>
  </si>
  <si>
    <t>Regnié</t>
  </si>
  <si>
    <t>SA</t>
  </si>
  <si>
    <t>Saint-Amour</t>
  </si>
  <si>
    <t>BN</t>
  </si>
  <si>
    <t>Beaujolais</t>
  </si>
  <si>
    <t>Nouveau</t>
  </si>
  <si>
    <t>BS</t>
  </si>
  <si>
    <t>Supérieur</t>
  </si>
  <si>
    <t>BV</t>
  </si>
  <si>
    <t>Village</t>
  </si>
  <si>
    <t>B</t>
  </si>
  <si>
    <t>Estimate No.</t>
  </si>
  <si>
    <t>Product Ref.</t>
  </si>
  <si>
    <t>REF</t>
  </si>
  <si>
    <t>PRODKEY</t>
  </si>
  <si>
    <t>DOMAIN</t>
  </si>
  <si>
    <t>TYPE</t>
  </si>
  <si>
    <t>YEAR</t>
  </si>
  <si>
    <t>STOCK</t>
  </si>
  <si>
    <t>BOTTLE_PRICE</t>
  </si>
  <si>
    <t>CB2006</t>
  </si>
  <si>
    <t>EST_NO</t>
  </si>
  <si>
    <t>PROD_REF</t>
  </si>
  <si>
    <t>QUANTITY</t>
  </si>
  <si>
    <t>BR2006</t>
  </si>
  <si>
    <t>NC</t>
  </si>
  <si>
    <t>Newcastle</t>
  </si>
  <si>
    <t>Brown</t>
  </si>
  <si>
    <t>DBKey</t>
  </si>
  <si>
    <t>EST_ITEM_NO</t>
  </si>
  <si>
    <t>If the "Estimate No." is edited, we lookup the existing "Estimate" from the DB + display it</t>
  </si>
  <si>
    <t>Pressing the "New Estimate" will clear the Estimate no + all input fields</t>
  </si>
  <si>
    <t>Pressing the save will dave any changes to the DB</t>
  </si>
  <si>
    <t>EST_ITEM_SEQ</t>
  </si>
  <si>
    <t>Quantity</t>
  </si>
  <si>
    <t>CH2006</t>
  </si>
  <si>
    <t>MO2006</t>
  </si>
  <si>
    <t>F2006</t>
  </si>
  <si>
    <t>MV2006</t>
  </si>
  <si>
    <t>J2006</t>
  </si>
  <si>
    <t>R2006</t>
  </si>
  <si>
    <t>BR2007</t>
  </si>
  <si>
    <t>CH2007</t>
  </si>
  <si>
    <t>Packaging</t>
  </si>
  <si>
    <t>PACKAGE_FORMAT</t>
  </si>
  <si>
    <t>REDUCTION</t>
  </si>
  <si>
    <t>Discount on total order quantity</t>
  </si>
  <si>
    <t>Discount on item quantity</t>
  </si>
  <si>
    <t>Discount according to packaging format (6 or 12 bottle box)</t>
  </si>
  <si>
    <t>Price</t>
  </si>
  <si>
    <t>Bottle Price</t>
  </si>
  <si>
    <t>Reduction</t>
  </si>
  <si>
    <t>Price Before Discount</t>
  </si>
  <si>
    <t>SA2006</t>
  </si>
  <si>
    <t>Total</t>
  </si>
  <si>
    <t>Discount</t>
  </si>
  <si>
    <t>TVA</t>
  </si>
  <si>
    <t>KEY</t>
  </si>
  <si>
    <t>VALUE</t>
  </si>
  <si>
    <t>VAT</t>
  </si>
  <si>
    <t>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</si>
</sst>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[$€-40C]"/>
    <numFmt numFmtId="165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1" fillId="2" borderId="1" applyFont="0" applyFill="0">
      <alignment horizontal="center" vertical="center" wrapText="1"/>
    </xf>
    <xf numFmtId="0" fontId="1" fillId="3" borderId="1" applyNumberFormat="0" applyAlignment="0">
      <alignment vertical="center" wrapText="1"/>
    </xf>
  </cellStyleXfs>
  <cellXfs count="22">
    <xf numFmtId="0" fontId="0" fillId="0" borderId="0" xfId="0"/>
    <xf numFmtId="0" fontId="0" fillId="0" borderId="0" xfId="0" applyAlignment="1">
      <alignment horizontal="left" indent="1"/>
    </xf>
    <xf numFmtId="164" fontId="0" fillId="0" borderId="0" xfId="0" applyNumberFormat="1"/>
    <xf numFmtId="0" fontId="0" fillId="0" borderId="0" xfId="0" applyFill="1"/>
    <xf numFmtId="0" fontId="0" fillId="0" borderId="0" xfId="0"/>
    <xf numFmtId="1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10" fontId="0" fillId="0" borderId="0" xfId="0" applyNumberFormat="1" applyFill="1"/>
    <xf numFmtId="10" fontId="0" fillId="0" borderId="0" xfId="0" applyNumberFormat="1"/>
    <xf numFmtId="0" fontId="0" fillId="0" borderId="0" xfId="0"/>
    <xf numFmtId="165" fontId="2" fillId="0" borderId="0" xfId="0" applyNumberFormat="1" applyFont="1"/>
    <xf numFmtId="165" fontId="2" fillId="0" borderId="3" xfId="0" applyNumberFormat="1" applyFont="1" applyBorder="1"/>
    <xf numFmtId="10" fontId="2" fillId="0" borderId="0" xfId="0" applyNumberFormat="1" applyFont="1"/>
    <xf numFmtId="10" fontId="2" fillId="0" borderId="3" xfId="0" applyNumberFormat="1" applyFont="1" applyBorder="1"/>
    <xf numFmtId="0" fontId="0" fillId="0" borderId="0" xfId="0"/>
    <xf numFmtId="0" fontId="0" fillId="0" borderId="0" xfId="0"/>
    <xf numFmtId="0" fontId="4" fillId="0" borderId="2" xfId="0" applyFont="1" applyBorder="1"/>
    <xf numFmtId="0" fontId="3" fillId="4" borderId="2" xfId="0" applyFont="1" applyFill="1" applyBorder="1"/>
    <xf numFmtId="0" fontId="0" fillId="0" borderId="0" xfId="0"/>
    <xf numFmtId="0" fontId="0" fillId="0" borderId="0" xfId="0"/>
    <xf numFmtId="0" fontId="0" fillId="0" borderId="0" xfId="0"/>
  </cellXfs>
  <cellStyles count="3">
    <cellStyle name="1A" xfId="2"/>
    <cellStyle name="Normal" xfId="0" builtinId="0"/>
    <cellStyle name="Text &lt;&gt;" xfId="1"/>
  </cellStyles>
  <dxfs count="15">
    <dxf>
      <numFmt numFmtId="165" formatCode="&quot;£&quot;#,##0.00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numFmt numFmtId="165" formatCode="&quot;£&quot;#,##0.00"/>
      <fill>
        <patternFill patternType="none">
          <fgColor indexed="64"/>
          <bgColor indexed="65"/>
        </patternFill>
      </fill>
    </dxf>
    <dxf>
      <numFmt numFmtId="165" formatCode="&quot;£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" formatCode="0"/>
    </dxf>
    <dxf>
      <numFmt numFmtId="164" formatCode="#,##0.00\ [$€-40C]"/>
    </dxf>
    <dxf>
      <numFmt numFmtId="14" formatCode="0.00%"/>
    </dxf>
    <dxf>
      <numFmt numFmtId="165" formatCode="&quot;£&quot;#,##0.00"/>
    </dxf>
    <dxf>
      <numFmt numFmtId="14" formatCode="0.00%"/>
    </dxf>
    <dxf>
      <numFmt numFmtId="165" formatCode="&quot;£&quot;#,##0.00"/>
    </dxf>
    <dxf>
      <numFmt numFmtId="165" formatCode="&quot;£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147638</xdr:colOff>
      <xdr:row>3</xdr:row>
      <xdr:rowOff>82550</xdr:rowOff>
    </xdr:from>
    <xdr:to>
      <xdr:col>13</xdr:col>
      <xdr:colOff>223837</xdr:colOff>
      <xdr:row>5</xdr:row>
      <xdr:rowOff>85725</xdr:rowOff>
    </xdr:to>
    <xdr:sp macro="[0]!SaveEstimate" textlink="">
      <xdr:nvSpPr>
        <xdr:cNvPr id="2" name="Rounded Rectangle 1"/>
        <xdr:cNvSpPr/>
      </xdr:nvSpPr>
      <xdr:spPr>
        <a:xfrm>
          <a:off x="7196138" y="730250"/>
          <a:ext cx="1295399" cy="3841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Save</a:t>
          </a:r>
        </a:p>
      </xdr:txBody>
    </xdr:sp>
    <xdr:clientData/>
  </xdr:twoCellAnchor>
  <xdr:twoCellAnchor>
    <xdr:from>
      <xdr:col>11</xdr:col>
      <xdr:colOff>119063</xdr:colOff>
      <xdr:row>11</xdr:row>
      <xdr:rowOff>152400</xdr:rowOff>
    </xdr:from>
    <xdr:to>
      <xdr:col>13</xdr:col>
      <xdr:colOff>214312</xdr:colOff>
      <xdr:row>13</xdr:row>
      <xdr:rowOff>142875</xdr:rowOff>
    </xdr:to>
    <xdr:sp macro="" textlink="">
      <xdr:nvSpPr>
        <xdr:cNvPr id="3" name="Rounded Rectangle 2"/>
        <xdr:cNvSpPr/>
      </xdr:nvSpPr>
      <xdr:spPr>
        <a:xfrm>
          <a:off x="7167563" y="2333625"/>
          <a:ext cx="1314449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Make</a:t>
          </a:r>
          <a:r>
            <a:rPr lang="en-GB" sz="1400" baseline="0"/>
            <a:t> Order</a:t>
          </a:r>
          <a:endParaRPr lang="en-GB" sz="1400"/>
        </a:p>
      </xdr:txBody>
    </xdr:sp>
    <xdr:clientData/>
  </xdr:twoCellAnchor>
  <xdr:twoCellAnchor>
    <xdr:from>
      <xdr:col>11</xdr:col>
      <xdr:colOff>157163</xdr:colOff>
      <xdr:row>6</xdr:row>
      <xdr:rowOff>60325</xdr:rowOff>
    </xdr:from>
    <xdr:to>
      <xdr:col>13</xdr:col>
      <xdr:colOff>252412</xdr:colOff>
      <xdr:row>8</xdr:row>
      <xdr:rowOff>50800</xdr:rowOff>
    </xdr:to>
    <xdr:sp macro="[0]!NewEstimateItem" textlink="">
      <xdr:nvSpPr>
        <xdr:cNvPr id="4" name="Rounded Rectangle 3"/>
        <xdr:cNvSpPr/>
      </xdr:nvSpPr>
      <xdr:spPr>
        <a:xfrm>
          <a:off x="7205663" y="1279525"/>
          <a:ext cx="1314449" cy="3714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New Item</a:t>
          </a:r>
        </a:p>
      </xdr:txBody>
    </xdr:sp>
    <xdr:clientData/>
  </xdr:twoCellAnchor>
  <xdr:twoCellAnchor>
    <xdr:from>
      <xdr:col>11</xdr:col>
      <xdr:colOff>128588</xdr:colOff>
      <xdr:row>1</xdr:row>
      <xdr:rowOff>9525</xdr:rowOff>
    </xdr:from>
    <xdr:to>
      <xdr:col>13</xdr:col>
      <xdr:colOff>223837</xdr:colOff>
      <xdr:row>2</xdr:row>
      <xdr:rowOff>133350</xdr:rowOff>
    </xdr:to>
    <xdr:sp macro="[0]!NewEstimate" textlink="">
      <xdr:nvSpPr>
        <xdr:cNvPr id="5" name="Rounded Rectangle 4"/>
        <xdr:cNvSpPr/>
      </xdr:nvSpPr>
      <xdr:spPr>
        <a:xfrm>
          <a:off x="7177088" y="200025"/>
          <a:ext cx="1314449" cy="3905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/>
            <a:t>New Estimate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CurEstItems" displayName="CurEstItems" ref="C5:J9" totalsRowCount="1" headerRowCellStyle="Normal" dataCellStyle="Normal">
  <autoFilter ref="C5:J8"/>
  <sortState ref="C6:J10">
    <sortCondition ref="C5:C10"/>
  </sortState>
  <tableColumns count="8">
    <tableColumn id="1" name="Product Ref." totalsRowLabel="Total" totalsRowDxfId="7" dataCellStyle="Normal"/>
    <tableColumn id="2" name="Quantity" totalsRowDxfId="6" dataCellStyle="Normal"/>
    <tableColumn id="3" name="DBKey" totalsRowDxfId="5" dataCellStyle="Normal"/>
    <tableColumn id="4" name="Packaging" totalsRowDxfId="4" dataCellStyle="Normal"/>
    <tableColumn id="5" name="Bottle Price" dataDxfId="14" totalsRowDxfId="3" dataCellStyle="Normal">
      <calculatedColumnFormula>IF(COUNTA(C6,D6,F6)=3,VLOOKUP(C6,DB_INV[],7,FALSE)*(1-VLOOKUP(F6,LOV_PACKAGE_DISCOUNT[],2,TRUE)),0)</calculatedColumnFormula>
    </tableColumn>
    <tableColumn id="6" name="Price Before Discount" dataDxfId="13" totalsRowDxfId="2" dataCellStyle="Normal">
      <calculatedColumnFormula>D6*F6*G6</calculatedColumnFormula>
    </tableColumn>
    <tableColumn id="7" name="Reduction" dataDxfId="12" totalsRowDxfId="1" dataCellStyle="Normal">
      <calculatedColumnFormula>IF(D6*F6,VLOOKUP(D6*F6,LOV_DISCOUNT_ITEM_QUANTITY[],2,TRUE),0)</calculatedColumnFormula>
    </tableColumn>
    <tableColumn id="8" name="Price" totalsRowFunction="sum" dataDxfId="11" totalsRowDxfId="0" dataCellStyle="Normal">
      <calculatedColumnFormula>H6*(1-I6)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LOV_PACKAGE_DISCOUNT" displayName="LOV_PACKAGE_DISCOUNT" ref="A2:B5" totalsRowShown="0">
  <autoFilter ref="A2:B5"/>
  <tableColumns count="2">
    <tableColumn id="1" name="QUANTITY"/>
    <tableColumn id="2" name="REDUC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LOV_DISCOUNT_ITEM_QUANTITY" displayName="LOV_DISCOUNT_ITEM_QUANTITY" ref="A8:B12" totalsRowShown="0">
  <autoFilter ref="A8:B12"/>
  <tableColumns count="2">
    <tableColumn id="1" name="QUANTITY"/>
    <tableColumn id="2" name="REDUCTION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LOV_DISCOUNT_QUANTITY" displayName="LOV_DISCOUNT_QUANTITY" ref="A15:B19" totalsRowShown="0">
  <autoFilter ref="A15:B19"/>
  <tableColumns count="2">
    <tableColumn id="1" name="QUANTITY"/>
    <tableColumn id="2" name="REDU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LOV_VAT" displayName="LOV_VAT" ref="A23:B24" totalsRowShown="0">
  <autoFilter ref="A23:B2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" name="DB_INV" displayName="DB_INV" ref="A1:G33" totalsRowShown="0">
  <autoFilter ref="A1:G33"/>
  <tableColumns count="7">
    <tableColumn id="1" name="REF">
      <calculatedColumnFormula>B2&amp;E2</calculatedColumnFormula>
    </tableColumn>
    <tableColumn id="2" name="PRODKEY"/>
    <tableColumn id="3" name="DOMAIN"/>
    <tableColumn id="4" name="TYPE"/>
    <tableColumn id="5" name="YEAR"/>
    <tableColumn id="6" name="STOCK"/>
    <tableColumn id="7" name="BOTTLE_PRICE" dataDxf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DB_ESTIMATE" displayName="DB_ESTIMATE" ref="A1:A17" totalsRowShown="0">
  <autoFilter ref="A1:A17"/>
  <tableColumns count="1">
    <tableColumn id="1" name="EST_NO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4" name="DB_ESTIMATE_ITEM" displayName="DB_ESTIMATE_ITEM" ref="A1:E50" totalsRowShown="0">
  <autoFilter ref="A1:E50"/>
  <tableColumns count="5">
    <tableColumn id="1" name="EST_NO"/>
    <tableColumn id="2" name="EST_ITEM_NO"/>
    <tableColumn id="3" name="PROD_REF"/>
    <tableColumn id="4" name="QUANTITY"/>
    <tableColumn id="5" name="PACKAGE_FORMAT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DB_EST_ITEM_SEQ" displayName="DB_EST_ITEM_SEQ" ref="G1:G2" totalsRowShown="0">
  <autoFilter ref="G1:G2"/>
  <tableColumns count="1">
    <tableColumn id="1" name="EST_ITEM_SEQ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39"/>
  <sheetViews>
    <sheetView workbookViewId="0">
      <selection activeCell="C34" sqref="C34"/>
    </sheetView>
  </sheetViews>
  <sheetFormatPr defaultRowHeight="15" x14ac:dyDescent="0.25"/>
  <cols>
    <col min="2" max="2" width="23.5703125" customWidth="1"/>
    <col min="3" max="3" width="87.85546875" customWidth="1"/>
  </cols>
  <sheetData>
    <row r="1" spans="2:3" x14ac:dyDescent="0.25">
      <c r="B1" t="s">
        <v>17</v>
      </c>
    </row>
    <row r="2" spans="2:3" x14ac:dyDescent="0.25">
      <c r="B2">
        <v>1</v>
      </c>
      <c r="C2" t="s">
        <v>0</v>
      </c>
    </row>
    <row r="3" spans="2:3" x14ac:dyDescent="0.25">
      <c r="B3">
        <v>2</v>
      </c>
      <c r="C3" t="s">
        <v>18</v>
      </c>
    </row>
    <row r="4" spans="2:3" x14ac:dyDescent="0.25">
      <c r="C4" s="1" t="s">
        <v>1</v>
      </c>
    </row>
    <row r="5" spans="2:3" x14ac:dyDescent="0.25">
      <c r="C5" s="1" t="s">
        <v>4</v>
      </c>
    </row>
    <row r="6" spans="2:3" x14ac:dyDescent="0.25">
      <c r="C6" s="1" t="s">
        <v>2</v>
      </c>
    </row>
    <row r="7" spans="2:3" x14ac:dyDescent="0.25">
      <c r="C7" s="1" t="s">
        <v>5</v>
      </c>
    </row>
    <row r="8" spans="2:3" x14ac:dyDescent="0.25">
      <c r="C8" s="1" t="s">
        <v>3</v>
      </c>
    </row>
    <row r="9" spans="2:3" x14ac:dyDescent="0.25">
      <c r="C9" s="1" t="s">
        <v>6</v>
      </c>
    </row>
    <row r="10" spans="2:3" x14ac:dyDescent="0.25">
      <c r="B10">
        <v>3</v>
      </c>
      <c r="C10" s="1" t="s">
        <v>19</v>
      </c>
    </row>
    <row r="11" spans="2:3" x14ac:dyDescent="0.25">
      <c r="C11" s="1" t="s">
        <v>20</v>
      </c>
    </row>
    <row r="12" spans="2:3" x14ac:dyDescent="0.25">
      <c r="C12" s="1" t="s">
        <v>21</v>
      </c>
    </row>
    <row r="13" spans="2:3" x14ac:dyDescent="0.25">
      <c r="C13" s="1" t="s">
        <v>22</v>
      </c>
    </row>
    <row r="15" spans="2:3" x14ac:dyDescent="0.25">
      <c r="B15">
        <v>3</v>
      </c>
      <c r="C15" t="s">
        <v>8</v>
      </c>
    </row>
    <row r="16" spans="2:3" x14ac:dyDescent="0.25">
      <c r="B16">
        <v>4</v>
      </c>
      <c r="C16" t="s">
        <v>9</v>
      </c>
    </row>
    <row r="17" spans="2:3" x14ac:dyDescent="0.25">
      <c r="B17">
        <v>5</v>
      </c>
      <c r="C17" t="s">
        <v>7</v>
      </c>
    </row>
    <row r="21" spans="2:3" x14ac:dyDescent="0.25">
      <c r="B21" t="s">
        <v>10</v>
      </c>
      <c r="C21" t="s">
        <v>11</v>
      </c>
    </row>
    <row r="22" spans="2:3" x14ac:dyDescent="0.25">
      <c r="C22" t="s">
        <v>12</v>
      </c>
    </row>
    <row r="24" spans="2:3" x14ac:dyDescent="0.25">
      <c r="C24" t="s">
        <v>13</v>
      </c>
    </row>
    <row r="25" spans="2:3" x14ac:dyDescent="0.25">
      <c r="C25" t="s">
        <v>14</v>
      </c>
    </row>
    <row r="35" spans="2:3" x14ac:dyDescent="0.25">
      <c r="B35" t="s">
        <v>16</v>
      </c>
      <c r="C35" t="s">
        <v>15</v>
      </c>
    </row>
    <row r="37" spans="2:3" x14ac:dyDescent="0.25">
      <c r="C37" t="s">
        <v>69</v>
      </c>
    </row>
    <row r="38" spans="2:3" x14ac:dyDescent="0.25">
      <c r="C38" t="s">
        <v>70</v>
      </c>
    </row>
    <row r="39" spans="2:3" x14ac:dyDescent="0.25">
      <c r="C39" t="s">
        <v>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2:J14"/>
  <sheetViews>
    <sheetView showZeros="0" tabSelected="1" workbookViewId="0">
      <selection activeCell="J13" sqref="J13"/>
    </sheetView>
  </sheetViews>
  <sheetFormatPr defaultRowHeight="15" x14ac:dyDescent="0.25"/>
  <cols>
    <col min="1" max="1" width="3.28515625" customWidth="1"/>
    <col min="2" max="2" width="2.5703125" customWidth="1"/>
    <col min="3" max="3" width="17" customWidth="1"/>
    <col min="4" max="4" width="21" customWidth="1"/>
    <col min="5" max="5" width="14.140625" customWidth="1"/>
    <col min="6" max="6" width="12" customWidth="1"/>
    <col min="7" max="7" width="17.5703125" style="6" customWidth="1"/>
    <col min="8" max="8" width="24.7109375" hidden="1" customWidth="1"/>
    <col min="9" max="9" width="17.85546875" style="9" customWidth="1"/>
    <col min="10" max="10" width="13.42578125" customWidth="1"/>
  </cols>
  <sheetData>
    <row r="2" spans="3:10" ht="21" x14ac:dyDescent="0.35">
      <c r="C2" s="18" t="s">
        <v>50</v>
      </c>
      <c r="D2" s="17">
        <v>317</v>
      </c>
    </row>
    <row r="5" spans="3:10" x14ac:dyDescent="0.25">
      <c r="C5" t="s">
        <v>51</v>
      </c>
      <c r="D5" t="s">
        <v>73</v>
      </c>
      <c r="E5" t="s">
        <v>67</v>
      </c>
      <c r="F5" t="s">
        <v>82</v>
      </c>
      <c r="G5" s="6" t="s">
        <v>89</v>
      </c>
      <c r="H5" t="s">
        <v>91</v>
      </c>
      <c r="I5" s="9" t="s">
        <v>90</v>
      </c>
      <c r="J5" t="s">
        <v>88</v>
      </c>
    </row>
    <row r="6" spans="3:10" x14ac:dyDescent="0.25">
      <c r="C6" s="3" t="s">
        <v>59</v>
      </c>
      <c r="D6" s="3">
        <v>12</v>
      </c>
      <c r="E6" s="3">
        <v>318</v>
      </c>
      <c r="F6" s="3">
        <v>1</v>
      </c>
      <c r="G6" s="7">
        <f>IF(COUNTA(C6,D6,F6)=3,VLOOKUP(C6,DB_INV[],7,FALSE)*(1-VLOOKUP(F6,LOV_PACKAGE_DISCOUNT[],2,TRUE)),0)</f>
        <v>5</v>
      </c>
      <c r="H6" s="7">
        <f>D6*F6*G6</f>
        <v>60</v>
      </c>
      <c r="I6" s="8">
        <f>IF(D6*F6,VLOOKUP(D6*F6,LOV_DISCOUNT_ITEM_QUANTITY[],2,TRUE),0)</f>
        <v>0</v>
      </c>
      <c r="J6" s="7">
        <f>H6*(1-I6)</f>
        <v>60</v>
      </c>
    </row>
    <row r="7" spans="3:10" x14ac:dyDescent="0.25">
      <c r="C7" s="3" t="s">
        <v>76</v>
      </c>
      <c r="D7" s="3">
        <v>12</v>
      </c>
      <c r="E7" s="3">
        <v>319</v>
      </c>
      <c r="F7" s="3">
        <v>1</v>
      </c>
      <c r="G7" s="7">
        <f>IF(COUNTA(C7,D7,F7)=3,VLOOKUP(C7,DB_INV[],7,FALSE)*(1-VLOOKUP(F7,LOV_PACKAGE_DISCOUNT[],2,TRUE)),0)</f>
        <v>5</v>
      </c>
      <c r="H7" s="7">
        <f>D7*F7*G7</f>
        <v>60</v>
      </c>
      <c r="I7" s="8">
        <f>IF(D7*F7,VLOOKUP(D7*F7,LOV_DISCOUNT_ITEM_QUANTITY[],2,TRUE),0)</f>
        <v>0</v>
      </c>
      <c r="J7" s="7">
        <f>H7*(1-I7)</f>
        <v>60</v>
      </c>
    </row>
    <row r="8" spans="3:10" x14ac:dyDescent="0.25">
      <c r="C8" s="3" t="s">
        <v>59</v>
      </c>
      <c r="D8" s="3">
        <v>1</v>
      </c>
      <c r="E8" s="3">
        <v>388</v>
      </c>
      <c r="F8" s="3">
        <v>6</v>
      </c>
      <c r="G8" s="7">
        <f>IF(COUNTA(C8,D8,F8)=3,VLOOKUP(C8,DB_INV[],7,FALSE)*(1-VLOOKUP(F8,LOV_PACKAGE_DISCOUNT[],2,TRUE)),0)</f>
        <v>4.75</v>
      </c>
      <c r="H8" s="7">
        <f>D8*F8*G8</f>
        <v>28.5</v>
      </c>
      <c r="I8" s="8">
        <f>IF(D8*F8,VLOOKUP(D8*F8,LOV_DISCOUNT_ITEM_QUANTITY[],2,TRUE),0)</f>
        <v>0</v>
      </c>
      <c r="J8" s="7">
        <f>H8*(1-I8)</f>
        <v>28.5</v>
      </c>
    </row>
    <row r="9" spans="3:10" x14ac:dyDescent="0.25">
      <c r="C9" s="3" t="s">
        <v>93</v>
      </c>
      <c r="D9" s="3"/>
      <c r="E9" s="3"/>
      <c r="F9" s="3"/>
      <c r="G9" s="7"/>
      <c r="H9" s="7"/>
      <c r="I9" s="8"/>
      <c r="J9" s="7">
        <f>SUBTOTAL(109,CurEstItems[Price])</f>
        <v>148.5</v>
      </c>
    </row>
    <row r="10" spans="3:10" x14ac:dyDescent="0.25">
      <c r="I10" s="13" t="s">
        <v>94</v>
      </c>
      <c r="J10" s="9">
        <f>IF(J9,VLOOKUP(J9,LOV_DISCOUNT_QUANTITY[],2),0)</f>
        <v>2.5000000000000001E-2</v>
      </c>
    </row>
    <row r="11" spans="3:10" x14ac:dyDescent="0.25">
      <c r="I11" s="13" t="s">
        <v>99</v>
      </c>
      <c r="J11" s="11">
        <f>J9*(1-J10)</f>
        <v>144.78749999999999</v>
      </c>
    </row>
    <row r="12" spans="3:10" x14ac:dyDescent="0.25">
      <c r="I12" s="13" t="s">
        <v>95</v>
      </c>
      <c r="J12" s="9">
        <f>VLOOKUP(1, LOV_VAT[],2,TRUE)</f>
        <v>0.2</v>
      </c>
    </row>
    <row r="13" spans="3:10" ht="15.75" thickBot="1" x14ac:dyDescent="0.3">
      <c r="I13" s="14" t="s">
        <v>93</v>
      </c>
      <c r="J13" s="12">
        <f>J11 + (J11*J12)</f>
        <v>173.745</v>
      </c>
    </row>
    <row r="14" spans="3:10" ht="15.75" thickTop="1" x14ac:dyDescent="0.25"/>
  </sheetData>
  <dataValidations count="3">
    <dataValidation type="list" allowBlank="1" showInputMessage="1" sqref="D2">
      <formula1>EstNoList</formula1>
    </dataValidation>
    <dataValidation type="list" allowBlank="1" showInputMessage="1" showErrorMessage="1" sqref="C6:C8">
      <formula1>RefList</formula1>
    </dataValidation>
    <dataValidation type="list" allowBlank="1" showInputMessage="1" showErrorMessage="1" sqref="F5:F8">
      <formula1>Packaging</formula1>
    </dataValidation>
  </dataValidations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6"/>
  <sheetViews>
    <sheetView workbookViewId="0">
      <selection activeCell="E36" sqref="E36"/>
    </sheetView>
  </sheetViews>
  <sheetFormatPr defaultRowHeight="15" x14ac:dyDescent="0.25"/>
  <cols>
    <col min="1" max="1" width="24.140625" customWidth="1"/>
    <col min="2" max="2" width="28.42578125" customWidth="1"/>
  </cols>
  <sheetData>
    <row r="1" spans="1:2" x14ac:dyDescent="0.25">
      <c r="A1" s="21" t="s">
        <v>87</v>
      </c>
      <c r="B1" s="21"/>
    </row>
    <row r="2" spans="1:2" x14ac:dyDescent="0.25">
      <c r="A2" t="s">
        <v>62</v>
      </c>
      <c r="B2" t="s">
        <v>84</v>
      </c>
    </row>
    <row r="3" spans="1:2" x14ac:dyDescent="0.25">
      <c r="A3">
        <v>1</v>
      </c>
    </row>
    <row r="4" spans="1:2" x14ac:dyDescent="0.25">
      <c r="A4">
        <v>6</v>
      </c>
      <c r="B4">
        <v>0.05</v>
      </c>
    </row>
    <row r="5" spans="1:2" x14ac:dyDescent="0.25">
      <c r="A5">
        <v>12</v>
      </c>
      <c r="B5">
        <v>7.4999999999999997E-2</v>
      </c>
    </row>
    <row r="7" spans="1:2" x14ac:dyDescent="0.25">
      <c r="A7" s="21" t="s">
        <v>86</v>
      </c>
      <c r="B7" s="21"/>
    </row>
    <row r="8" spans="1:2" x14ac:dyDescent="0.25">
      <c r="A8" t="s">
        <v>62</v>
      </c>
      <c r="B8" t="s">
        <v>84</v>
      </c>
    </row>
    <row r="9" spans="1:2" x14ac:dyDescent="0.25">
      <c r="A9">
        <v>1</v>
      </c>
      <c r="B9" s="9"/>
    </row>
    <row r="10" spans="1:2" x14ac:dyDescent="0.25">
      <c r="A10">
        <v>60</v>
      </c>
      <c r="B10" s="9">
        <v>2.5000000000000001E-2</v>
      </c>
    </row>
    <row r="11" spans="1:2" x14ac:dyDescent="0.25">
      <c r="A11">
        <v>120</v>
      </c>
      <c r="B11" s="9">
        <v>0.05</v>
      </c>
    </row>
    <row r="12" spans="1:2" x14ac:dyDescent="0.25">
      <c r="A12">
        <v>240</v>
      </c>
      <c r="B12" s="9">
        <v>0.1</v>
      </c>
    </row>
    <row r="14" spans="1:2" x14ac:dyDescent="0.25">
      <c r="A14" s="21" t="s">
        <v>85</v>
      </c>
      <c r="B14" s="21"/>
    </row>
    <row r="15" spans="1:2" x14ac:dyDescent="0.25">
      <c r="A15" t="s">
        <v>62</v>
      </c>
      <c r="B15" t="s">
        <v>84</v>
      </c>
    </row>
    <row r="16" spans="1:2" x14ac:dyDescent="0.25">
      <c r="A16">
        <v>1</v>
      </c>
    </row>
    <row r="17" spans="1:2" x14ac:dyDescent="0.25">
      <c r="A17">
        <v>100</v>
      </c>
      <c r="B17">
        <v>2.5000000000000001E-2</v>
      </c>
    </row>
    <row r="18" spans="1:2" x14ac:dyDescent="0.25">
      <c r="A18">
        <v>300</v>
      </c>
      <c r="B18">
        <v>0.05</v>
      </c>
    </row>
    <row r="19" spans="1:2" x14ac:dyDescent="0.25">
      <c r="A19">
        <v>500</v>
      </c>
      <c r="B19">
        <v>0.1</v>
      </c>
    </row>
    <row r="21" spans="1:2" x14ac:dyDescent="0.25">
      <c r="A21" s="21"/>
      <c r="B21" s="21"/>
    </row>
    <row r="22" spans="1:2" x14ac:dyDescent="0.25">
      <c r="A22" s="10" t="s">
        <v>98</v>
      </c>
      <c r="B22" s="10"/>
    </row>
    <row r="23" spans="1:2" x14ac:dyDescent="0.25">
      <c r="A23" s="10" t="s">
        <v>96</v>
      </c>
      <c r="B23" s="10" t="s">
        <v>97</v>
      </c>
    </row>
    <row r="24" spans="1:2" x14ac:dyDescent="0.25">
      <c r="A24" s="10">
        <v>1</v>
      </c>
      <c r="B24" s="10">
        <v>0.2</v>
      </c>
    </row>
    <row r="25" spans="1:2" x14ac:dyDescent="0.25">
      <c r="A25" s="10"/>
      <c r="B25" s="10"/>
    </row>
    <row r="26" spans="1:2" x14ac:dyDescent="0.25">
      <c r="A26" s="10"/>
      <c r="B26" s="10"/>
    </row>
  </sheetData>
  <mergeCells count="4">
    <mergeCell ref="A1:B1"/>
    <mergeCell ref="A7:B7"/>
    <mergeCell ref="A14:B14"/>
    <mergeCell ref="A21:B2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workbookViewId="0">
      <selection activeCell="I30" sqref="I30"/>
    </sheetView>
  </sheetViews>
  <sheetFormatPr defaultRowHeight="15" x14ac:dyDescent="0.25"/>
  <cols>
    <col min="2" max="2" width="16.5703125" customWidth="1"/>
    <col min="3" max="3" width="12.85546875" customWidth="1"/>
    <col min="4" max="4" width="15.28515625" customWidth="1"/>
    <col min="6" max="6" width="22.140625" customWidth="1"/>
    <col min="7" max="7" width="25.5703125" style="2" customWidth="1"/>
  </cols>
  <sheetData>
    <row r="1" spans="1: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s="2" t="s">
        <v>58</v>
      </c>
    </row>
    <row r="2" spans="1:7" x14ac:dyDescent="0.25">
      <c r="A2" t="str">
        <f t="shared" ref="A2:A33" si="0">B2&amp;E2</f>
        <v>BR2006</v>
      </c>
      <c r="B2" t="s">
        <v>23</v>
      </c>
      <c r="C2" t="s">
        <v>24</v>
      </c>
      <c r="D2" t="s">
        <v>25</v>
      </c>
      <c r="E2">
        <v>2006</v>
      </c>
      <c r="F2">
        <v>789</v>
      </c>
      <c r="G2" s="2">
        <v>4.5</v>
      </c>
    </row>
    <row r="3" spans="1:7" x14ac:dyDescent="0.25">
      <c r="A3" t="str">
        <f t="shared" si="0"/>
        <v>CB2006</v>
      </c>
      <c r="B3" t="s">
        <v>26</v>
      </c>
      <c r="C3" t="s">
        <v>27</v>
      </c>
      <c r="D3" t="s">
        <v>25</v>
      </c>
      <c r="E3">
        <v>2006</v>
      </c>
      <c r="F3">
        <v>254</v>
      </c>
      <c r="G3" s="2">
        <v>5</v>
      </c>
    </row>
    <row r="4" spans="1:7" x14ac:dyDescent="0.25">
      <c r="A4" t="str">
        <f t="shared" si="0"/>
        <v>CH2006</v>
      </c>
      <c r="B4" t="s">
        <v>28</v>
      </c>
      <c r="C4" t="s">
        <v>29</v>
      </c>
      <c r="D4" t="s">
        <v>25</v>
      </c>
      <c r="E4">
        <v>2006</v>
      </c>
      <c r="F4">
        <v>32</v>
      </c>
      <c r="G4" s="2">
        <v>5.5</v>
      </c>
    </row>
    <row r="5" spans="1:7" x14ac:dyDescent="0.25">
      <c r="A5" t="str">
        <f t="shared" si="0"/>
        <v>F2006</v>
      </c>
      <c r="B5" t="s">
        <v>30</v>
      </c>
      <c r="C5" t="s">
        <v>31</v>
      </c>
      <c r="D5" t="s">
        <v>25</v>
      </c>
      <c r="E5">
        <v>2006</v>
      </c>
      <c r="F5">
        <v>19</v>
      </c>
      <c r="G5" s="2">
        <v>5</v>
      </c>
    </row>
    <row r="6" spans="1:7" x14ac:dyDescent="0.25">
      <c r="A6" t="str">
        <f t="shared" si="0"/>
        <v>J2006</v>
      </c>
      <c r="B6" t="s">
        <v>32</v>
      </c>
      <c r="C6" t="s">
        <v>33</v>
      </c>
      <c r="D6" t="s">
        <v>25</v>
      </c>
      <c r="E6">
        <v>2006</v>
      </c>
      <c r="F6">
        <v>864</v>
      </c>
      <c r="G6" s="2">
        <v>5.5</v>
      </c>
    </row>
    <row r="7" spans="1:7" x14ac:dyDescent="0.25">
      <c r="A7" t="str">
        <f t="shared" si="0"/>
        <v>MO2006</v>
      </c>
      <c r="B7" t="s">
        <v>34</v>
      </c>
      <c r="C7" t="s">
        <v>35</v>
      </c>
      <c r="D7" t="s">
        <v>25</v>
      </c>
      <c r="E7">
        <v>2006</v>
      </c>
      <c r="F7">
        <v>212</v>
      </c>
      <c r="G7" s="2">
        <v>4.5</v>
      </c>
    </row>
    <row r="8" spans="1:7" x14ac:dyDescent="0.25">
      <c r="A8" t="str">
        <f t="shared" si="0"/>
        <v>MV2006</v>
      </c>
      <c r="B8" t="s">
        <v>36</v>
      </c>
      <c r="C8" t="s">
        <v>37</v>
      </c>
      <c r="D8" t="s">
        <v>25</v>
      </c>
      <c r="E8">
        <v>2006</v>
      </c>
      <c r="F8">
        <v>53</v>
      </c>
      <c r="G8" s="2">
        <v>5</v>
      </c>
    </row>
    <row r="9" spans="1:7" x14ac:dyDescent="0.25">
      <c r="A9" t="str">
        <f t="shared" si="0"/>
        <v>R2006</v>
      </c>
      <c r="B9" t="s">
        <v>38</v>
      </c>
      <c r="C9" t="s">
        <v>39</v>
      </c>
      <c r="D9" t="s">
        <v>25</v>
      </c>
      <c r="E9">
        <v>2006</v>
      </c>
      <c r="F9">
        <v>151</v>
      </c>
      <c r="G9" s="2">
        <v>5</v>
      </c>
    </row>
    <row r="10" spans="1:7" x14ac:dyDescent="0.25">
      <c r="A10" t="str">
        <f t="shared" si="0"/>
        <v>SA2006</v>
      </c>
      <c r="B10" t="s">
        <v>40</v>
      </c>
      <c r="C10" t="s">
        <v>41</v>
      </c>
      <c r="D10" t="s">
        <v>25</v>
      </c>
      <c r="E10">
        <v>2006</v>
      </c>
      <c r="F10">
        <v>77</v>
      </c>
      <c r="G10" s="2">
        <v>6</v>
      </c>
    </row>
    <row r="11" spans="1:7" x14ac:dyDescent="0.25">
      <c r="A11" t="str">
        <f t="shared" si="0"/>
        <v>BV2006</v>
      </c>
      <c r="B11" t="s">
        <v>47</v>
      </c>
      <c r="C11" t="s">
        <v>43</v>
      </c>
      <c r="D11" t="s">
        <v>48</v>
      </c>
      <c r="E11">
        <v>2006</v>
      </c>
      <c r="F11">
        <v>1452</v>
      </c>
      <c r="G11" s="2">
        <v>3.5</v>
      </c>
    </row>
    <row r="12" spans="1:7" x14ac:dyDescent="0.25">
      <c r="A12" t="str">
        <f t="shared" si="0"/>
        <v>BR2007</v>
      </c>
      <c r="B12" t="s">
        <v>23</v>
      </c>
      <c r="C12" t="s">
        <v>24</v>
      </c>
      <c r="D12" t="s">
        <v>25</v>
      </c>
      <c r="E12">
        <v>2007</v>
      </c>
      <c r="F12">
        <v>1876</v>
      </c>
      <c r="G12" s="2">
        <v>5</v>
      </c>
    </row>
    <row r="13" spans="1:7" x14ac:dyDescent="0.25">
      <c r="A13" t="str">
        <f t="shared" si="0"/>
        <v>CB2007</v>
      </c>
      <c r="B13" t="s">
        <v>26</v>
      </c>
      <c r="C13" t="s">
        <v>27</v>
      </c>
      <c r="D13" t="s">
        <v>25</v>
      </c>
      <c r="E13">
        <v>2007</v>
      </c>
      <c r="F13">
        <v>2460</v>
      </c>
      <c r="G13" s="2">
        <v>5.5</v>
      </c>
    </row>
    <row r="14" spans="1:7" x14ac:dyDescent="0.25">
      <c r="A14" t="str">
        <f t="shared" si="0"/>
        <v>CH2007</v>
      </c>
      <c r="B14" t="s">
        <v>28</v>
      </c>
      <c r="C14" t="s">
        <v>29</v>
      </c>
      <c r="D14" t="s">
        <v>25</v>
      </c>
      <c r="E14">
        <v>2007</v>
      </c>
      <c r="F14">
        <v>861</v>
      </c>
      <c r="G14" s="2">
        <v>6.1</v>
      </c>
    </row>
    <row r="15" spans="1:7" x14ac:dyDescent="0.25">
      <c r="A15" t="str">
        <f t="shared" si="0"/>
        <v>F2007</v>
      </c>
      <c r="B15" t="s">
        <v>30</v>
      </c>
      <c r="C15" t="s">
        <v>31</v>
      </c>
      <c r="D15" t="s">
        <v>25</v>
      </c>
      <c r="E15">
        <v>2007</v>
      </c>
      <c r="F15">
        <v>1199</v>
      </c>
      <c r="G15" s="2">
        <v>5.5</v>
      </c>
    </row>
    <row r="16" spans="1:7" x14ac:dyDescent="0.25">
      <c r="A16" t="str">
        <f t="shared" si="0"/>
        <v>J2007</v>
      </c>
      <c r="B16" t="s">
        <v>32</v>
      </c>
      <c r="C16" t="s">
        <v>33</v>
      </c>
      <c r="D16" t="s">
        <v>25</v>
      </c>
      <c r="E16">
        <v>2007</v>
      </c>
      <c r="F16">
        <v>4668</v>
      </c>
      <c r="G16" s="2">
        <v>6.1</v>
      </c>
    </row>
    <row r="17" spans="1:7" x14ac:dyDescent="0.25">
      <c r="A17" t="str">
        <f t="shared" si="0"/>
        <v>MO2007</v>
      </c>
      <c r="B17" t="s">
        <v>34</v>
      </c>
      <c r="C17" t="s">
        <v>35</v>
      </c>
      <c r="D17" t="s">
        <v>25</v>
      </c>
      <c r="E17">
        <v>2007</v>
      </c>
      <c r="F17">
        <v>1680</v>
      </c>
      <c r="G17" s="2">
        <v>5</v>
      </c>
    </row>
    <row r="18" spans="1:7" x14ac:dyDescent="0.25">
      <c r="A18" t="str">
        <f t="shared" si="0"/>
        <v>MV2007</v>
      </c>
      <c r="B18" t="s">
        <v>36</v>
      </c>
      <c r="C18" t="s">
        <v>37</v>
      </c>
      <c r="D18" t="s">
        <v>25</v>
      </c>
      <c r="E18">
        <v>2007</v>
      </c>
      <c r="F18">
        <v>1001</v>
      </c>
      <c r="G18" s="2">
        <v>5.5</v>
      </c>
    </row>
    <row r="19" spans="1:7" x14ac:dyDescent="0.25">
      <c r="A19" t="str">
        <f t="shared" si="0"/>
        <v>R2007</v>
      </c>
      <c r="B19" t="s">
        <v>38</v>
      </c>
      <c r="C19" t="s">
        <v>39</v>
      </c>
      <c r="D19" t="s">
        <v>25</v>
      </c>
      <c r="E19">
        <v>2007</v>
      </c>
      <c r="F19">
        <v>1470</v>
      </c>
      <c r="G19" s="2">
        <v>5.5</v>
      </c>
    </row>
    <row r="20" spans="1:7" x14ac:dyDescent="0.25">
      <c r="A20" t="str">
        <f t="shared" si="0"/>
        <v>SA2007</v>
      </c>
      <c r="B20" t="s">
        <v>40</v>
      </c>
      <c r="C20" t="s">
        <v>41</v>
      </c>
      <c r="D20" t="s">
        <v>25</v>
      </c>
      <c r="E20">
        <v>2007</v>
      </c>
      <c r="F20">
        <v>2846</v>
      </c>
      <c r="G20" s="2">
        <v>6.6</v>
      </c>
    </row>
    <row r="21" spans="1:7" x14ac:dyDescent="0.25">
      <c r="A21" t="str">
        <f t="shared" si="0"/>
        <v>BV2007</v>
      </c>
      <c r="B21" t="s">
        <v>47</v>
      </c>
      <c r="C21" t="s">
        <v>43</v>
      </c>
      <c r="D21" t="s">
        <v>48</v>
      </c>
      <c r="E21">
        <v>2007</v>
      </c>
      <c r="F21">
        <v>8642</v>
      </c>
      <c r="G21" s="2">
        <v>4</v>
      </c>
    </row>
    <row r="22" spans="1:7" x14ac:dyDescent="0.25">
      <c r="A22" t="str">
        <f t="shared" si="0"/>
        <v>BN2008</v>
      </c>
      <c r="B22" t="s">
        <v>42</v>
      </c>
      <c r="C22" t="s">
        <v>43</v>
      </c>
      <c r="D22" t="s">
        <v>44</v>
      </c>
      <c r="E22">
        <v>2008</v>
      </c>
      <c r="G22" s="2">
        <v>3.5</v>
      </c>
    </row>
    <row r="23" spans="1:7" x14ac:dyDescent="0.25">
      <c r="A23" t="str">
        <f t="shared" si="0"/>
        <v>BS</v>
      </c>
      <c r="B23" t="s">
        <v>45</v>
      </c>
      <c r="C23" t="s">
        <v>43</v>
      </c>
      <c r="D23" t="s">
        <v>46</v>
      </c>
      <c r="F23">
        <v>7654</v>
      </c>
      <c r="G23" s="2">
        <v>3</v>
      </c>
    </row>
    <row r="24" spans="1:7" x14ac:dyDescent="0.25">
      <c r="A24" t="str">
        <f t="shared" si="0"/>
        <v>NC1998</v>
      </c>
      <c r="B24" t="s">
        <v>64</v>
      </c>
      <c r="C24" t="s">
        <v>65</v>
      </c>
      <c r="D24" t="s">
        <v>66</v>
      </c>
      <c r="E24">
        <v>1998</v>
      </c>
      <c r="F24">
        <v>5000</v>
      </c>
      <c r="G24" s="2">
        <v>1.5</v>
      </c>
    </row>
    <row r="25" spans="1:7" x14ac:dyDescent="0.25">
      <c r="A25" t="str">
        <f t="shared" si="0"/>
        <v>NC1999</v>
      </c>
      <c r="B25" t="s">
        <v>64</v>
      </c>
      <c r="C25" t="s">
        <v>65</v>
      </c>
      <c r="D25" t="s">
        <v>66</v>
      </c>
      <c r="E25">
        <v>1999</v>
      </c>
      <c r="F25">
        <v>5000</v>
      </c>
      <c r="G25" s="2">
        <v>1.5</v>
      </c>
    </row>
    <row r="26" spans="1:7" x14ac:dyDescent="0.25">
      <c r="A26" t="str">
        <f t="shared" si="0"/>
        <v>NC2000</v>
      </c>
      <c r="B26" t="s">
        <v>64</v>
      </c>
      <c r="C26" t="s">
        <v>65</v>
      </c>
      <c r="D26" t="s">
        <v>66</v>
      </c>
      <c r="E26">
        <v>2000</v>
      </c>
      <c r="F26">
        <v>5000</v>
      </c>
      <c r="G26" s="2">
        <v>1.5</v>
      </c>
    </row>
    <row r="27" spans="1:7" x14ac:dyDescent="0.25">
      <c r="A27" t="str">
        <f t="shared" si="0"/>
        <v>NC2001</v>
      </c>
      <c r="B27" t="s">
        <v>64</v>
      </c>
      <c r="C27" t="s">
        <v>65</v>
      </c>
      <c r="D27" t="s">
        <v>66</v>
      </c>
      <c r="E27">
        <v>2001</v>
      </c>
      <c r="F27">
        <v>5000</v>
      </c>
      <c r="G27" s="2">
        <v>1.5</v>
      </c>
    </row>
    <row r="28" spans="1:7" x14ac:dyDescent="0.25">
      <c r="A28" t="str">
        <f t="shared" si="0"/>
        <v>NC2002</v>
      </c>
      <c r="B28" t="s">
        <v>64</v>
      </c>
      <c r="C28" t="s">
        <v>65</v>
      </c>
      <c r="D28" t="s">
        <v>66</v>
      </c>
      <c r="E28">
        <v>2002</v>
      </c>
      <c r="F28">
        <v>5000</v>
      </c>
      <c r="G28" s="2">
        <v>1.5</v>
      </c>
    </row>
    <row r="29" spans="1:7" x14ac:dyDescent="0.25">
      <c r="A29" t="str">
        <f t="shared" si="0"/>
        <v>NC2003</v>
      </c>
      <c r="B29" t="s">
        <v>64</v>
      </c>
      <c r="C29" t="s">
        <v>65</v>
      </c>
      <c r="D29" t="s">
        <v>66</v>
      </c>
      <c r="E29">
        <v>2003</v>
      </c>
      <c r="F29">
        <v>5000</v>
      </c>
      <c r="G29" s="2">
        <v>1.5</v>
      </c>
    </row>
    <row r="30" spans="1:7" x14ac:dyDescent="0.25">
      <c r="A30" t="str">
        <f t="shared" si="0"/>
        <v>NC2004</v>
      </c>
      <c r="B30" t="s">
        <v>64</v>
      </c>
      <c r="C30" t="s">
        <v>65</v>
      </c>
      <c r="D30" t="s">
        <v>66</v>
      </c>
      <c r="E30">
        <v>2004</v>
      </c>
      <c r="F30">
        <v>5000</v>
      </c>
      <c r="G30" s="2">
        <v>1.5</v>
      </c>
    </row>
    <row r="31" spans="1:7" x14ac:dyDescent="0.25">
      <c r="A31" t="str">
        <f t="shared" si="0"/>
        <v>NC2005</v>
      </c>
      <c r="B31" t="s">
        <v>64</v>
      </c>
      <c r="C31" t="s">
        <v>65</v>
      </c>
      <c r="D31" t="s">
        <v>66</v>
      </c>
      <c r="E31">
        <v>2005</v>
      </c>
      <c r="F31">
        <v>5000</v>
      </c>
      <c r="G31" s="2">
        <v>1.5</v>
      </c>
    </row>
    <row r="32" spans="1:7" x14ac:dyDescent="0.25">
      <c r="A32" t="str">
        <f>B32&amp;E32</f>
        <v>NC2006</v>
      </c>
      <c r="B32" t="s">
        <v>64</v>
      </c>
      <c r="C32" t="s">
        <v>65</v>
      </c>
      <c r="D32" t="s">
        <v>66</v>
      </c>
      <c r="E32">
        <v>2006</v>
      </c>
      <c r="F32">
        <v>5000</v>
      </c>
      <c r="G32" s="2">
        <v>1.5</v>
      </c>
    </row>
    <row r="33" spans="1:7" x14ac:dyDescent="0.25">
      <c r="A33" t="str">
        <f t="shared" si="0"/>
        <v>B</v>
      </c>
      <c r="B33" t="s">
        <v>49</v>
      </c>
      <c r="C33" t="s">
        <v>43</v>
      </c>
      <c r="F33">
        <v>11487</v>
      </c>
      <c r="G33" s="2">
        <v>2.5</v>
      </c>
    </row>
  </sheetData>
  <sortState ref="A2:G24">
    <sortCondition ref="E2:E24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7"/>
  <sheetViews>
    <sheetView workbookViewId="0">
      <selection activeCell="A17" sqref="A17"/>
    </sheetView>
  </sheetViews>
  <sheetFormatPr defaultRowHeight="15" x14ac:dyDescent="0.25"/>
  <cols>
    <col min="1" max="1" width="10" customWidth="1"/>
    <col min="2" max="2" width="15.5703125" customWidth="1"/>
    <col min="3" max="3" width="14.7109375" customWidth="1"/>
  </cols>
  <sheetData>
    <row r="1" spans="1:1" x14ac:dyDescent="0.25">
      <c r="A1" t="s">
        <v>60</v>
      </c>
    </row>
    <row r="2" spans="1:1" ht="15.75" customHeight="1" x14ac:dyDescent="0.25">
      <c r="A2">
        <v>101</v>
      </c>
    </row>
    <row r="3" spans="1:1" x14ac:dyDescent="0.25">
      <c r="A3">
        <v>102</v>
      </c>
    </row>
    <row r="4" spans="1:1" x14ac:dyDescent="0.25">
      <c r="A4">
        <v>304</v>
      </c>
    </row>
    <row r="5" spans="1:1" x14ac:dyDescent="0.25">
      <c r="A5">
        <v>317</v>
      </c>
    </row>
    <row r="6" spans="1:1" x14ac:dyDescent="0.25">
      <c r="A6">
        <v>325</v>
      </c>
    </row>
    <row r="7" spans="1:1" x14ac:dyDescent="0.25">
      <c r="A7">
        <v>326</v>
      </c>
    </row>
    <row r="8" spans="1:1" x14ac:dyDescent="0.25">
      <c r="A8">
        <v>336</v>
      </c>
    </row>
    <row r="9" spans="1:1" x14ac:dyDescent="0.25">
      <c r="A9">
        <v>344</v>
      </c>
    </row>
    <row r="10" spans="1:1" x14ac:dyDescent="0.25">
      <c r="A10">
        <v>371</v>
      </c>
    </row>
    <row r="11" spans="1:1" x14ac:dyDescent="0.25">
      <c r="A11">
        <v>374</v>
      </c>
    </row>
    <row r="12" spans="1:1" x14ac:dyDescent="0.25">
      <c r="A12">
        <v>383</v>
      </c>
    </row>
    <row r="13" spans="1:1" x14ac:dyDescent="0.25">
      <c r="A13" s="15">
        <v>390</v>
      </c>
    </row>
    <row r="14" spans="1:1" x14ac:dyDescent="0.25">
      <c r="A14" s="16">
        <v>393</v>
      </c>
    </row>
    <row r="15" spans="1:1" x14ac:dyDescent="0.25">
      <c r="A15" s="19">
        <v>394</v>
      </c>
    </row>
    <row r="16" spans="1:1" x14ac:dyDescent="0.25">
      <c r="A16" s="20">
        <v>1001</v>
      </c>
    </row>
    <row r="17" spans="1:1" x14ac:dyDescent="0.25">
      <c r="A17" s="20">
        <v>1003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0"/>
  <sheetViews>
    <sheetView topLeftCell="A46" workbookViewId="0">
      <selection activeCell="A52" sqref="A52:XFD52"/>
    </sheetView>
  </sheetViews>
  <sheetFormatPr defaultRowHeight="15" x14ac:dyDescent="0.25"/>
  <cols>
    <col min="1" max="1" width="12" customWidth="1"/>
    <col min="2" max="2" width="21.5703125" customWidth="1"/>
    <col min="3" max="3" width="16.85546875" customWidth="1"/>
    <col min="4" max="4" width="18.28515625" customWidth="1"/>
    <col min="5" max="5" width="19" style="5" customWidth="1"/>
    <col min="6" max="6" width="17.5703125" customWidth="1"/>
    <col min="7" max="7" width="25.5703125" customWidth="1"/>
  </cols>
  <sheetData>
    <row r="1" spans="1:7" x14ac:dyDescent="0.25">
      <c r="A1" t="s">
        <v>60</v>
      </c>
      <c r="B1" t="s">
        <v>68</v>
      </c>
      <c r="C1" t="s">
        <v>61</v>
      </c>
      <c r="D1" t="s">
        <v>62</v>
      </c>
      <c r="E1" s="5" t="s">
        <v>83</v>
      </c>
      <c r="G1" t="s">
        <v>72</v>
      </c>
    </row>
    <row r="2" spans="1:7" x14ac:dyDescent="0.25">
      <c r="A2">
        <v>101</v>
      </c>
      <c r="B2">
        <v>201</v>
      </c>
      <c r="C2" t="s">
        <v>63</v>
      </c>
      <c r="D2">
        <v>16</v>
      </c>
      <c r="E2" s="5">
        <v>1</v>
      </c>
      <c r="G2">
        <v>1005</v>
      </c>
    </row>
    <row r="3" spans="1:7" x14ac:dyDescent="0.25">
      <c r="A3">
        <v>101</v>
      </c>
      <c r="B3">
        <v>202</v>
      </c>
      <c r="C3" t="s">
        <v>59</v>
      </c>
      <c r="D3">
        <v>17</v>
      </c>
      <c r="E3" s="5">
        <v>1</v>
      </c>
    </row>
    <row r="4" spans="1:7" x14ac:dyDescent="0.25">
      <c r="A4">
        <v>101</v>
      </c>
      <c r="B4">
        <v>203</v>
      </c>
      <c r="C4" t="s">
        <v>78</v>
      </c>
      <c r="D4">
        <v>18</v>
      </c>
      <c r="E4" s="5">
        <v>1</v>
      </c>
    </row>
    <row r="5" spans="1:7" x14ac:dyDescent="0.25">
      <c r="A5">
        <v>102</v>
      </c>
      <c r="B5">
        <v>204</v>
      </c>
      <c r="C5" t="s">
        <v>63</v>
      </c>
      <c r="D5">
        <v>19</v>
      </c>
      <c r="E5" s="5">
        <v>1</v>
      </c>
    </row>
    <row r="6" spans="1:7" x14ac:dyDescent="0.25">
      <c r="A6">
        <v>101</v>
      </c>
      <c r="B6">
        <v>300</v>
      </c>
      <c r="C6" t="s">
        <v>74</v>
      </c>
      <c r="D6">
        <v>2</v>
      </c>
      <c r="E6" s="5">
        <v>1</v>
      </c>
    </row>
    <row r="7" spans="1:7" x14ac:dyDescent="0.25">
      <c r="A7">
        <v>101</v>
      </c>
      <c r="B7">
        <v>301</v>
      </c>
      <c r="C7" t="s">
        <v>59</v>
      </c>
      <c r="D7">
        <v>4</v>
      </c>
      <c r="E7" s="5">
        <v>1</v>
      </c>
    </row>
    <row r="8" spans="1:7" x14ac:dyDescent="0.25">
      <c r="A8">
        <v>101</v>
      </c>
      <c r="B8">
        <v>303</v>
      </c>
      <c r="C8" t="s">
        <v>75</v>
      </c>
      <c r="D8">
        <v>55</v>
      </c>
      <c r="E8" s="5">
        <v>1</v>
      </c>
    </row>
    <row r="9" spans="1:7" x14ac:dyDescent="0.25">
      <c r="A9">
        <v>317</v>
      </c>
      <c r="B9">
        <v>318</v>
      </c>
      <c r="C9" t="s">
        <v>59</v>
      </c>
      <c r="D9">
        <v>12</v>
      </c>
      <c r="E9" s="5">
        <v>1</v>
      </c>
    </row>
    <row r="10" spans="1:7" x14ac:dyDescent="0.25">
      <c r="A10">
        <v>317</v>
      </c>
      <c r="B10">
        <v>319</v>
      </c>
      <c r="C10" t="s">
        <v>76</v>
      </c>
      <c r="D10">
        <v>12</v>
      </c>
      <c r="E10" s="5">
        <v>1</v>
      </c>
    </row>
    <row r="11" spans="1:7" x14ac:dyDescent="0.25">
      <c r="A11">
        <v>326</v>
      </c>
      <c r="B11">
        <v>327</v>
      </c>
      <c r="C11" t="s">
        <v>63</v>
      </c>
      <c r="D11">
        <v>1</v>
      </c>
      <c r="E11" s="5">
        <v>1</v>
      </c>
    </row>
    <row r="12" spans="1:7" x14ac:dyDescent="0.25">
      <c r="A12">
        <v>326</v>
      </c>
      <c r="B12">
        <v>328</v>
      </c>
      <c r="C12" t="s">
        <v>80</v>
      </c>
      <c r="D12">
        <v>2</v>
      </c>
      <c r="E12" s="5">
        <v>6</v>
      </c>
    </row>
    <row r="13" spans="1:7" x14ac:dyDescent="0.25">
      <c r="A13">
        <v>326</v>
      </c>
      <c r="B13">
        <v>329</v>
      </c>
      <c r="C13" t="s">
        <v>76</v>
      </c>
      <c r="D13">
        <v>3</v>
      </c>
      <c r="E13" s="5">
        <v>12</v>
      </c>
    </row>
    <row r="14" spans="1:7" x14ac:dyDescent="0.25">
      <c r="A14">
        <v>326</v>
      </c>
      <c r="B14">
        <v>330</v>
      </c>
      <c r="C14" t="s">
        <v>76</v>
      </c>
      <c r="D14">
        <v>4</v>
      </c>
      <c r="E14" s="5">
        <v>1</v>
      </c>
    </row>
    <row r="15" spans="1:7" x14ac:dyDescent="0.25">
      <c r="A15">
        <v>326</v>
      </c>
      <c r="B15">
        <v>331</v>
      </c>
      <c r="C15" t="s">
        <v>74</v>
      </c>
      <c r="D15">
        <v>5</v>
      </c>
      <c r="E15" s="5">
        <v>6</v>
      </c>
    </row>
    <row r="16" spans="1:7" x14ac:dyDescent="0.25">
      <c r="A16">
        <v>326</v>
      </c>
      <c r="B16">
        <v>332</v>
      </c>
      <c r="C16" t="s">
        <v>77</v>
      </c>
      <c r="D16">
        <v>6</v>
      </c>
      <c r="E16" s="5">
        <v>12</v>
      </c>
    </row>
    <row r="17" spans="1:5" x14ac:dyDescent="0.25">
      <c r="A17">
        <v>326</v>
      </c>
      <c r="B17">
        <v>333</v>
      </c>
      <c r="C17" t="s">
        <v>75</v>
      </c>
      <c r="D17">
        <v>7</v>
      </c>
      <c r="E17" s="5">
        <v>1</v>
      </c>
    </row>
    <row r="18" spans="1:5" x14ac:dyDescent="0.25">
      <c r="A18">
        <v>326</v>
      </c>
      <c r="B18">
        <v>334</v>
      </c>
      <c r="C18" t="s">
        <v>78</v>
      </c>
      <c r="D18">
        <v>8</v>
      </c>
      <c r="E18" s="5">
        <v>6</v>
      </c>
    </row>
    <row r="19" spans="1:5" x14ac:dyDescent="0.25">
      <c r="A19">
        <v>336</v>
      </c>
      <c r="B19">
        <v>337</v>
      </c>
      <c r="C19" t="s">
        <v>74</v>
      </c>
      <c r="D19">
        <v>1</v>
      </c>
      <c r="E19" s="5">
        <v>1</v>
      </c>
    </row>
    <row r="20" spans="1:5" x14ac:dyDescent="0.25">
      <c r="A20">
        <v>336</v>
      </c>
      <c r="B20">
        <v>338</v>
      </c>
      <c r="C20" t="s">
        <v>59</v>
      </c>
      <c r="D20">
        <v>1</v>
      </c>
      <c r="E20" s="5">
        <v>1</v>
      </c>
    </row>
    <row r="21" spans="1:5" x14ac:dyDescent="0.25">
      <c r="A21">
        <v>336</v>
      </c>
      <c r="B21">
        <v>339</v>
      </c>
      <c r="C21" t="s">
        <v>78</v>
      </c>
      <c r="D21">
        <v>1</v>
      </c>
      <c r="E21" s="5">
        <v>1</v>
      </c>
    </row>
    <row r="22" spans="1:5" x14ac:dyDescent="0.25">
      <c r="A22">
        <v>336</v>
      </c>
      <c r="B22">
        <v>340</v>
      </c>
      <c r="C22" t="s">
        <v>77</v>
      </c>
      <c r="D22">
        <v>1</v>
      </c>
      <c r="E22" s="5">
        <v>1</v>
      </c>
    </row>
    <row r="23" spans="1:5" x14ac:dyDescent="0.25">
      <c r="A23">
        <v>336</v>
      </c>
      <c r="B23">
        <v>341</v>
      </c>
      <c r="C23" t="s">
        <v>79</v>
      </c>
      <c r="D23">
        <v>1</v>
      </c>
      <c r="E23" s="5">
        <v>1</v>
      </c>
    </row>
    <row r="24" spans="1:5" x14ac:dyDescent="0.25">
      <c r="A24">
        <v>336</v>
      </c>
      <c r="B24">
        <v>342</v>
      </c>
      <c r="C24" t="s">
        <v>75</v>
      </c>
      <c r="D24">
        <v>1</v>
      </c>
      <c r="E24" s="5">
        <v>1</v>
      </c>
    </row>
    <row r="25" spans="1:5" x14ac:dyDescent="0.25">
      <c r="A25">
        <v>325</v>
      </c>
      <c r="B25">
        <v>343</v>
      </c>
      <c r="C25" t="s">
        <v>59</v>
      </c>
      <c r="D25">
        <v>1</v>
      </c>
      <c r="E25" s="5">
        <v>1</v>
      </c>
    </row>
    <row r="26" spans="1:5" x14ac:dyDescent="0.25">
      <c r="A26">
        <v>326</v>
      </c>
      <c r="B26">
        <v>353</v>
      </c>
      <c r="C26" t="s">
        <v>74</v>
      </c>
      <c r="D26">
        <v>9</v>
      </c>
      <c r="E26" s="5">
        <v>12</v>
      </c>
    </row>
    <row r="27" spans="1:5" x14ac:dyDescent="0.25">
      <c r="A27">
        <v>326</v>
      </c>
      <c r="B27">
        <v>354</v>
      </c>
      <c r="C27" t="s">
        <v>92</v>
      </c>
      <c r="D27">
        <v>10</v>
      </c>
      <c r="E27" s="5">
        <v>1</v>
      </c>
    </row>
    <row r="28" spans="1:5" x14ac:dyDescent="0.25">
      <c r="A28">
        <v>304</v>
      </c>
      <c r="B28">
        <v>365</v>
      </c>
      <c r="C28" t="s">
        <v>74</v>
      </c>
      <c r="D28">
        <v>1</v>
      </c>
      <c r="E28" s="5">
        <v>1</v>
      </c>
    </row>
    <row r="29" spans="1:5" x14ac:dyDescent="0.25">
      <c r="A29">
        <v>304</v>
      </c>
      <c r="B29">
        <v>366</v>
      </c>
      <c r="C29" t="s">
        <v>81</v>
      </c>
      <c r="D29">
        <v>1</v>
      </c>
      <c r="E29" s="5">
        <v>1</v>
      </c>
    </row>
    <row r="30" spans="1:5" x14ac:dyDescent="0.25">
      <c r="A30">
        <v>304</v>
      </c>
      <c r="B30">
        <v>368</v>
      </c>
      <c r="C30" t="s">
        <v>74</v>
      </c>
      <c r="D30">
        <v>1</v>
      </c>
      <c r="E30" s="5">
        <v>1</v>
      </c>
    </row>
    <row r="31" spans="1:5" x14ac:dyDescent="0.25">
      <c r="A31">
        <v>304</v>
      </c>
      <c r="B31">
        <v>369</v>
      </c>
      <c r="C31" t="s">
        <v>63</v>
      </c>
      <c r="D31">
        <v>1</v>
      </c>
      <c r="E31" s="5">
        <v>1</v>
      </c>
    </row>
    <row r="32" spans="1:5" x14ac:dyDescent="0.25">
      <c r="A32">
        <v>304</v>
      </c>
      <c r="B32">
        <v>367</v>
      </c>
      <c r="C32" t="s">
        <v>63</v>
      </c>
      <c r="D32">
        <v>1</v>
      </c>
      <c r="E32" s="5">
        <v>1</v>
      </c>
    </row>
    <row r="33" spans="1:5" x14ac:dyDescent="0.25">
      <c r="A33">
        <v>374</v>
      </c>
      <c r="B33">
        <v>375</v>
      </c>
      <c r="C33" t="s">
        <v>74</v>
      </c>
      <c r="D33">
        <v>1</v>
      </c>
      <c r="E33" s="5">
        <v>1</v>
      </c>
    </row>
    <row r="34" spans="1:5" x14ac:dyDescent="0.25">
      <c r="A34">
        <v>374</v>
      </c>
      <c r="B34">
        <v>376</v>
      </c>
      <c r="C34" t="s">
        <v>76</v>
      </c>
      <c r="D34">
        <v>2</v>
      </c>
      <c r="E34" s="5">
        <v>1</v>
      </c>
    </row>
    <row r="35" spans="1:5" x14ac:dyDescent="0.25">
      <c r="A35">
        <v>374</v>
      </c>
      <c r="B35">
        <v>377</v>
      </c>
      <c r="C35" t="s">
        <v>76</v>
      </c>
      <c r="D35">
        <v>3</v>
      </c>
      <c r="E35" s="5">
        <v>1</v>
      </c>
    </row>
    <row r="36" spans="1:5" x14ac:dyDescent="0.25">
      <c r="A36">
        <v>374</v>
      </c>
      <c r="B36">
        <v>378</v>
      </c>
      <c r="C36" t="s">
        <v>79</v>
      </c>
      <c r="D36">
        <v>4</v>
      </c>
      <c r="E36" s="5">
        <v>1</v>
      </c>
    </row>
    <row r="37" spans="1:5" x14ac:dyDescent="0.25">
      <c r="A37">
        <v>374</v>
      </c>
      <c r="B37">
        <v>379</v>
      </c>
      <c r="C37" t="s">
        <v>76</v>
      </c>
      <c r="D37">
        <v>5</v>
      </c>
      <c r="E37" s="5">
        <v>1</v>
      </c>
    </row>
    <row r="38" spans="1:5" x14ac:dyDescent="0.25">
      <c r="A38">
        <v>374</v>
      </c>
      <c r="B38">
        <v>380</v>
      </c>
      <c r="C38" t="s">
        <v>63</v>
      </c>
      <c r="D38">
        <v>1</v>
      </c>
      <c r="E38" s="5">
        <v>1</v>
      </c>
    </row>
    <row r="39" spans="1:5" x14ac:dyDescent="0.25">
      <c r="A39">
        <v>374</v>
      </c>
      <c r="B39">
        <v>381</v>
      </c>
      <c r="C39" t="s">
        <v>74</v>
      </c>
      <c r="D39">
        <v>1</v>
      </c>
      <c r="E39" s="5">
        <v>1</v>
      </c>
    </row>
    <row r="40" spans="1:5" x14ac:dyDescent="0.25">
      <c r="A40">
        <v>374</v>
      </c>
      <c r="B40">
        <v>382</v>
      </c>
      <c r="C40" t="s">
        <v>59</v>
      </c>
      <c r="D40">
        <v>1</v>
      </c>
      <c r="E40" s="5">
        <v>6</v>
      </c>
    </row>
    <row r="41" spans="1:5" x14ac:dyDescent="0.25">
      <c r="A41">
        <v>383</v>
      </c>
      <c r="B41">
        <v>384</v>
      </c>
      <c r="C41" t="s">
        <v>76</v>
      </c>
      <c r="D41">
        <v>1</v>
      </c>
      <c r="E41" s="5">
        <v>6</v>
      </c>
    </row>
    <row r="42" spans="1:5" x14ac:dyDescent="0.25">
      <c r="A42">
        <v>383</v>
      </c>
      <c r="B42">
        <v>385</v>
      </c>
      <c r="C42" t="s">
        <v>74</v>
      </c>
      <c r="D42">
        <v>2</v>
      </c>
      <c r="E42" s="5">
        <v>6</v>
      </c>
    </row>
    <row r="43" spans="1:5" x14ac:dyDescent="0.25">
      <c r="A43">
        <v>383</v>
      </c>
      <c r="B43">
        <v>386</v>
      </c>
      <c r="C43" t="s">
        <v>78</v>
      </c>
      <c r="D43">
        <v>3</v>
      </c>
      <c r="E43" s="5">
        <v>6</v>
      </c>
    </row>
    <row r="44" spans="1:5" x14ac:dyDescent="0.25">
      <c r="A44" s="4">
        <v>317</v>
      </c>
      <c r="B44" s="4">
        <v>388</v>
      </c>
      <c r="C44" s="4" t="s">
        <v>59</v>
      </c>
      <c r="D44" s="4">
        <v>1</v>
      </c>
      <c r="E44" s="5">
        <v>6</v>
      </c>
    </row>
    <row r="45" spans="1:5" x14ac:dyDescent="0.25">
      <c r="A45" s="15">
        <v>390</v>
      </c>
      <c r="B45" s="15">
        <v>391</v>
      </c>
      <c r="C45" s="15" t="s">
        <v>63</v>
      </c>
      <c r="D45" s="15">
        <v>1</v>
      </c>
    </row>
    <row r="46" spans="1:5" x14ac:dyDescent="0.25">
      <c r="A46" s="15">
        <v>390</v>
      </c>
      <c r="B46" s="15">
        <v>392</v>
      </c>
      <c r="C46" s="15" t="s">
        <v>59</v>
      </c>
      <c r="D46" s="15">
        <v>1</v>
      </c>
    </row>
    <row r="47" spans="1:5" x14ac:dyDescent="0.25">
      <c r="A47" s="19">
        <v>394</v>
      </c>
      <c r="B47" s="19">
        <v>395</v>
      </c>
      <c r="C47" s="19" t="s">
        <v>59</v>
      </c>
      <c r="D47" s="19">
        <v>1</v>
      </c>
      <c r="E47" s="5">
        <v>6</v>
      </c>
    </row>
    <row r="48" spans="1:5" x14ac:dyDescent="0.25">
      <c r="A48" s="19">
        <v>394</v>
      </c>
      <c r="B48" s="19">
        <v>396</v>
      </c>
      <c r="C48" s="19" t="s">
        <v>74</v>
      </c>
      <c r="D48" s="19">
        <v>1</v>
      </c>
      <c r="E48" s="5">
        <v>6</v>
      </c>
    </row>
    <row r="49" spans="1:5" x14ac:dyDescent="0.25">
      <c r="A49" s="20">
        <v>1001</v>
      </c>
      <c r="B49" s="20">
        <v>1002</v>
      </c>
      <c r="C49" s="20" t="s">
        <v>74</v>
      </c>
      <c r="D49" s="20">
        <v>1</v>
      </c>
      <c r="E49" s="5">
        <v>6</v>
      </c>
    </row>
    <row r="50" spans="1:5" x14ac:dyDescent="0.25">
      <c r="A50" s="20">
        <v>1003</v>
      </c>
      <c r="B50" s="20">
        <v>1004</v>
      </c>
      <c r="C50" s="20" t="s">
        <v>59</v>
      </c>
      <c r="D50" s="20">
        <v>1</v>
      </c>
      <c r="E50" s="5">
        <v>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Spec.</vt:lpstr>
      <vt:lpstr>EstimateForm</vt:lpstr>
      <vt:lpstr>LookupDB</vt:lpstr>
      <vt:lpstr>InventoryDB</vt:lpstr>
      <vt:lpstr>EstimateDB</vt:lpstr>
      <vt:lpstr>EstimateItemDB</vt:lpstr>
      <vt:lpstr>CurEstNo</vt:lpstr>
      <vt:lpstr>EstNoList</vt:lpstr>
      <vt:lpstr>Packaging</vt:lpstr>
      <vt:lpstr>EstimateForm!Print_Area</vt:lpstr>
      <vt:lpstr>RefList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michaelb</dc:creator>
  <cp:lastModifiedBy>michaelb</cp:lastModifiedBy>
  <cp:lastPrinted>2022-04-03T12:01:13Z</cp:lastPrinted>
  <dcterms:created xsi:type="dcterms:W3CDTF">2022-04-02T08:38:50Z</dcterms:created>
  <dcterms:modified xsi:type="dcterms:W3CDTF">2022-04-03T18:28:16Z</dcterms:modified>
</cp:coreProperties>
</file>